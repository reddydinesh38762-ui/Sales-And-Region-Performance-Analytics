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nesh\Documents\"/>
    </mc:Choice>
  </mc:AlternateContent>
  <xr:revisionPtr revIDLastSave="0" documentId="8_{BCEC8D2B-067D-4D74-B608-985DA27272B6}" xr6:coauthVersionLast="36" xr6:coauthVersionMax="36" xr10:uidLastSave="{00000000-0000-0000-0000-000000000000}"/>
  <bookViews>
    <workbookView xWindow="0" yWindow="0" windowWidth="19008" windowHeight="8940" activeTab="1" xr2:uid="{DB9D1F1D-DCA5-4429-8542-7FF5419ED851}"/>
  </bookViews>
  <sheets>
    <sheet name="Sheet1" sheetId="1" r:id="rId1"/>
    <sheet name="Sheet3" sheetId="3" r:id="rId2"/>
    <sheet name="Sheet2" sheetId="2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" i="2" l="1"/>
  <c r="H9" i="2"/>
</calcChain>
</file>

<file path=xl/sharedStrings.xml><?xml version="1.0" encoding="utf-8"?>
<sst xmlns="http://schemas.openxmlformats.org/spreadsheetml/2006/main" count="79" uniqueCount="43">
  <si>
    <t>Row No.</t>
  </si>
  <si>
    <t>Customer ID</t>
  </si>
  <si>
    <t>Target Region</t>
  </si>
  <si>
    <t>Product Category</t>
  </si>
  <si>
    <t>Total Monthly Revenue</t>
  </si>
  <si>
    <t>Row 10</t>
  </si>
  <si>
    <t>CID-801</t>
  </si>
  <si>
    <t>South</t>
  </si>
  <si>
    <t>Electronics</t>
  </si>
  <si>
    <t>$85,000</t>
  </si>
  <si>
    <t>Row 11</t>
  </si>
  <si>
    <t>CID-802</t>
  </si>
  <si>
    <t>North</t>
  </si>
  <si>
    <t>Fashion</t>
  </si>
  <si>
    <t>$42,000</t>
  </si>
  <si>
    <t>Row 12</t>
  </si>
  <si>
    <t>CID-803</t>
  </si>
  <si>
    <t>$95,000</t>
  </si>
  <si>
    <t>Row 13</t>
  </si>
  <si>
    <t>CID-804</t>
  </si>
  <si>
    <t>East</t>
  </si>
  <si>
    <t>Fitness</t>
  </si>
  <si>
    <t>$60,000</t>
  </si>
  <si>
    <t>Row 14</t>
  </si>
  <si>
    <t>CID-805</t>
  </si>
  <si>
    <t>"David John "</t>
  </si>
  <si>
    <t>Home Decor</t>
  </si>
  <si>
    <t>$35,000</t>
  </si>
  <si>
    <t>Column1</t>
  </si>
  <si>
    <t>Client Raw Name2</t>
  </si>
  <si>
    <t>" Suresh Kumar "</t>
  </si>
  <si>
    <t>"Priya Sharma "</t>
  </si>
  <si>
    <t>" Anjali Reddy"</t>
  </si>
  <si>
    <t>"Rahul Verma"</t>
  </si>
  <si>
    <t xml:space="preserve">Client Raw Name </t>
  </si>
  <si>
    <t>"Suresh Kumar "</t>
  </si>
  <si>
    <t>"Anjali Reddy"</t>
  </si>
  <si>
    <t>Row Labels</t>
  </si>
  <si>
    <t>Grand Total</t>
  </si>
  <si>
    <t>Count of Target Region</t>
  </si>
  <si>
    <t>Count of Product Category</t>
  </si>
  <si>
    <t>Sum of Total Monthly Revenue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</si>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</sst>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[$$-C09]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363840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  <xf numFmtId="41" fontId="0" fillId="0" borderId="0" xfId="1" applyFont="1"/>
    <xf numFmtId="164" fontId="3" fillId="0" borderId="1" xfId="0" applyNumberFormat="1" applyFont="1" applyBorder="1" applyAlignment="1">
      <alignment vertical="center" wrapText="1"/>
    </xf>
    <xf numFmtId="164" fontId="3" fillId="0" borderId="0" xfId="0" applyNumberFormat="1" applyFont="1" applyAlignment="1">
      <alignment vertical="center" wrapText="1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Comma [0]" xfId="1" builtinId="6"/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urier New"/>
        <family val="3"/>
        <scheme val="none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36384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[$$-C09]#,##0.00"/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36384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urier New"/>
        <family val="3"/>
        <scheme val="none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36384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urier New"/>
        <family val="3"/>
        <scheme val="none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36384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urier New"/>
        <family val="3"/>
        <scheme val="none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36384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urier New"/>
        <family val="3"/>
        <scheme val="none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36384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36384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urier New"/>
        <family val="3"/>
        <scheme val="none"/>
      </font>
      <alignment horizontal="general" vertical="center" textRotation="0" wrapText="1" indent="0" justifyLastLine="0" shrinkToFit="0" readingOrder="0"/>
    </dxf>
    <dxf>
      <border outline="0">
        <bottom style="medium">
          <color rgb="FF36384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36384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urier New"/>
        <family val="3"/>
        <scheme val="none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36384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urier New"/>
        <family val="3"/>
        <scheme val="none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36384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urier New"/>
        <family val="3"/>
        <scheme val="none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36384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urier New"/>
        <family val="3"/>
        <scheme val="none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36384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36384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urier New"/>
        <family val="3"/>
        <scheme val="none"/>
      </font>
      <alignment horizontal="general" vertical="center" textRotation="0" wrapText="1" indent="0" justifyLastLine="0" shrinkToFit="0" readingOrder="0"/>
    </dxf>
    <dxf>
      <border outline="0">
        <bottom style="medium">
          <color rgb="FF36384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[Sales_Performance_Analytics.xlsx]Sheet3!PivotTable1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Count of Target Region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Sheet3!$A$4:$A$8</c:f>
              <c:strCache>
                <c:ptCount val="4"/>
                <c:pt idx="0">
                  <c:v>" Suresh Kumar "</c:v>
                </c:pt>
                <c:pt idx="1">
                  <c:v>"David John "</c:v>
                </c:pt>
                <c:pt idx="2">
                  <c:v>"Priya Sharma "</c:v>
                </c:pt>
                <c:pt idx="3">
                  <c:v>"Rahul Verma"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F1-4786-8D20-3E0D9360F6E5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Count of Product Category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Sheet3!$A$4:$A$8</c:f>
              <c:strCache>
                <c:ptCount val="4"/>
                <c:pt idx="0">
                  <c:v>" Suresh Kumar "</c:v>
                </c:pt>
                <c:pt idx="1">
                  <c:v>"David John "</c:v>
                </c:pt>
                <c:pt idx="2">
                  <c:v>"Priya Sharma "</c:v>
                </c:pt>
                <c:pt idx="3">
                  <c:v>"Rahul Verma"</c:v>
                </c:pt>
              </c:strCache>
            </c:strRef>
          </c:cat>
          <c:val>
            <c:numRef>
              <c:f>Sheet3!$C$4:$C$8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F1-4786-8D20-3E0D9360F6E5}"/>
            </c:ext>
          </c:extLst>
        </c:ser>
        <c:ser>
          <c:idx val="2"/>
          <c:order val="2"/>
          <c:tx>
            <c:strRef>
              <c:f>Sheet3!$D$3</c:f>
              <c:strCache>
                <c:ptCount val="1"/>
                <c:pt idx="0">
                  <c:v>Sum of Total Monthly Revenue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Sheet3!$A$4:$A$8</c:f>
              <c:strCache>
                <c:ptCount val="4"/>
                <c:pt idx="0">
                  <c:v>" Suresh Kumar "</c:v>
                </c:pt>
                <c:pt idx="1">
                  <c:v>"David John "</c:v>
                </c:pt>
                <c:pt idx="2">
                  <c:v>"Priya Sharma "</c:v>
                </c:pt>
                <c:pt idx="3">
                  <c:v>"Rahul Verma"</c:v>
                </c:pt>
              </c:strCache>
            </c:strRef>
          </c:cat>
          <c:val>
            <c:numRef>
              <c:f>Sheet3!$D$4:$D$8</c:f>
              <c:numCache>
                <c:formatCode>General</c:formatCode>
                <c:ptCount val="4"/>
                <c:pt idx="0">
                  <c:v>85</c:v>
                </c:pt>
                <c:pt idx="1">
                  <c:v>35</c:v>
                </c:pt>
                <c:pt idx="2">
                  <c:v>42</c:v>
                </c:pt>
                <c:pt idx="3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F1-4786-8D20-3E0D936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17118920"/>
        <c:axId val="517119904"/>
        <c:axId val="0"/>
      </c:bar3DChart>
      <c:catAx>
        <c:axId val="517118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119904"/>
        <c:crosses val="autoZero"/>
        <c:auto val="1"/>
        <c:lblAlgn val="ctr"/>
        <c:lblOffset val="100"/>
        <c:noMultiLvlLbl val="0"/>
      </c:catAx>
      <c:valAx>
        <c:axId val="51711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118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16192038495188"/>
          <c:y val="0.20370188101487313"/>
          <c:w val="0.3171213969369675"/>
          <c:h val="0.463169559186471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510540</xdr:colOff>
      <xdr:row>11</xdr:row>
      <xdr:rowOff>106680</xdr:rowOff>
    </xdr:from>
    <xdr:to>
      <xdr:col>4</xdr:col>
      <xdr:colOff>152400</xdr:colOff>
      <xdr:row>26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346164-8783-4F89-9D03-5035C8E65A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nesh" refreshedDate="46285.613445138886" createdVersion="6" refreshedVersion="6" minRefreshableVersion="3" recordCount="5" xr:uid="{A6FD6830-2673-4D38-A39F-95925FD11D05}">
  <cacheSource type="worksheet">
    <worksheetSource name="Table2"/>
  </cacheSource>
  <cacheFields count="7">
    <cacheField name="Row No." numFmtId="0">
      <sharedItems/>
    </cacheField>
    <cacheField name="Customer ID" numFmtId="0">
      <sharedItems count="5">
        <s v="CID-801"/>
        <s v="CID-802"/>
        <s v="CID-803"/>
        <s v="CID-804"/>
        <s v="CID-805"/>
      </sharedItems>
    </cacheField>
    <cacheField name="Client Raw Name " numFmtId="0">
      <sharedItems count="5">
        <s v="&quot; Suresh Kumar &quot;"/>
        <s v="&quot;Priya Sharma &quot;"/>
        <s v="&quot; Anjali Reddy&quot;"/>
        <s v="&quot;Rahul Verma&quot;"/>
        <s v="&quot;David John &quot;"/>
      </sharedItems>
    </cacheField>
    <cacheField name="Target Region" numFmtId="0">
      <sharedItems count="3">
        <s v="South"/>
        <s v="North"/>
        <s v="East"/>
      </sharedItems>
    </cacheField>
    <cacheField name="Product Category" numFmtId="0">
      <sharedItems count="4">
        <s v="Electronics"/>
        <s v="Fashion"/>
        <s v="Fitness"/>
        <s v="Home Decor"/>
      </sharedItems>
    </cacheField>
    <cacheField name="Total Monthly Revenue" numFmtId="164">
      <sharedItems containsSemiMixedTypes="0" containsString="0" containsNumber="1" containsInteger="1" minValue="35" maxValue="95"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s v="Row 10"/>
    <x v="0"/>
    <x v="0"/>
    <x v="0"/>
    <x v="0"/>
    <n v="85"/>
    <m/>
  </r>
  <r>
    <s v="Row 11"/>
    <x v="1"/>
    <x v="1"/>
    <x v="1"/>
    <x v="1"/>
    <n v="42"/>
    <m/>
  </r>
  <r>
    <s v="Row 12"/>
    <x v="2"/>
    <x v="2"/>
    <x v="0"/>
    <x v="0"/>
    <n v="95"/>
    <m/>
  </r>
  <r>
    <s v="Row 13"/>
    <x v="3"/>
    <x v="3"/>
    <x v="2"/>
    <x v="2"/>
    <n v="60"/>
    <m/>
  </r>
  <r>
    <s v="Row 14"/>
    <x v="4"/>
    <x v="4"/>
    <x v="0"/>
    <x v="3"/>
    <n v="3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FC1B08-3A99-4B51-8ED3-E05EB66C3579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D8" firstHeaderRow="0" firstDataRow="1" firstDataCol="1" rowPageCount="1" colPageCount="1"/>
  <pivotFields count="7">
    <pivotField showAll="0"/>
    <pivotField axis="axisPage" multipleItemSelectionAllowed="1" showAll="0">
      <items count="6">
        <item x="0"/>
        <item x="1"/>
        <item h="1" x="2"/>
        <item x="3"/>
        <item x="4"/>
        <item t="default"/>
      </items>
    </pivotField>
    <pivotField axis="axisRow" showAll="0">
      <items count="6">
        <item x="2"/>
        <item x="0"/>
        <item x="4"/>
        <item x="1"/>
        <item x="3"/>
        <item t="default"/>
      </items>
    </pivotField>
    <pivotField dataField="1" showAll="0">
      <items count="4">
        <item x="2"/>
        <item x="1"/>
        <item x="0"/>
        <item t="default"/>
      </items>
    </pivotField>
    <pivotField dataField="1" showAll="0">
      <items count="5">
        <item x="0"/>
        <item x="1"/>
        <item x="2"/>
        <item x="3"/>
        <item t="default"/>
      </items>
    </pivotField>
    <pivotField dataField="1" numFmtId="164" showAll="0"/>
    <pivotField showAll="0"/>
  </pivotFields>
  <rowFields count="1">
    <field x="2"/>
  </rowFields>
  <rowItems count="5"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" hier="-1"/>
  </pageFields>
  <dataFields count="3">
    <dataField name="Count of Target Region" fld="3" subtotal="count" baseField="0" baseItem="0"/>
    <dataField name="Count of Product Category" fld="4" subtotal="count" baseField="0" baseItem="0"/>
    <dataField name="Sum of Total Monthly Revenue" fld="5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95E751-81FA-4A9D-9C75-827FBCB3821B}" name="Table1" displayName="Table1" ref="E2:J7" totalsRowShown="0" headerRowDxfId="21" dataDxfId="19" headerRowBorderDxfId="20">
  <autoFilter ref="E2:J7" xr:uid="{D04D0D7A-7B30-4C98-BEE7-86D0B5EA5001}"/>
  <tableColumns count="6">
    <tableColumn id="1" xr3:uid="{9A3DE4FA-66B9-4980-9D20-757D848DC47B}" name="Row No." dataDxfId="18"/>
    <tableColumn id="2" xr3:uid="{1D3CA85E-1F43-40B1-A7DB-3453A535ABC2}" name="Customer ID" dataDxfId="17"/>
    <tableColumn id="3" xr3:uid="{BB2A038F-EF84-4A27-AAA7-09824E3D48D2}" name="Client Raw Name2" dataDxfId="16"/>
    <tableColumn id="4" xr3:uid="{80925E35-B925-4A67-A00E-90F2D7181044}" name="Target Region" dataDxfId="15"/>
    <tableColumn id="5" xr3:uid="{9104A2A5-6F13-422F-B248-BC843B2B9B0D}" name="Product Category" dataDxfId="14"/>
    <tableColumn id="6" xr3:uid="{9201D83C-E932-4505-A079-3DE42242852F}" name="Total Monthly Revenue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F53629-743A-4AC3-916F-B34A3192A2E7}" name="Table2" displayName="Table2" ref="A1:G6" totalsRowShown="0" headerRowDxfId="9" dataDxfId="7" headerRowBorderDxfId="8">
  <autoFilter ref="A1:G6" xr:uid="{AE8B911C-A767-4495-BCAF-C02AB3A3B1A1}"/>
  <tableColumns count="7">
    <tableColumn id="1" xr3:uid="{42884C9D-27FF-42C4-9ED3-014C90C10EE7}" name="Row No." dataDxfId="6"/>
    <tableColumn id="2" xr3:uid="{621794C8-BC5F-4F85-B1FB-5345E7676B27}" name="Customer ID" dataDxfId="5"/>
    <tableColumn id="3" xr3:uid="{3E4E2EA8-FFE2-4E85-8F47-6EE49A55386A}" name="Client Raw Name " dataDxfId="4"/>
    <tableColumn id="4" xr3:uid="{05F57C4C-03C7-4EF3-8BB8-96CF5FE224D9}" name="Target Region" dataDxfId="3"/>
    <tableColumn id="5" xr3:uid="{DFA5BDF2-FD29-49C4-8475-1B38E792D8E9}" name="Product Category" dataDxfId="2"/>
    <tableColumn id="6" xr3:uid="{85B9A558-8D33-4E56-8FF2-EC1ABCBED6FD}" name="Total Monthly Revenue" dataDxfId="1"/>
    <tableColumn id="7" xr3:uid="{9BACC7F2-9E18-4A36-8917-70896FA88857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4C330-6EFF-44B4-9287-2EA8B259F2BA}">
  <dimension ref="E2:J7"/>
  <sheetViews>
    <sheetView topLeftCell="C3" workbookViewId="0">
      <selection activeCell="E26" sqref="E26:E28"/>
    </sheetView>
  </sheetViews>
  <sheetFormatPr defaultRowHeight="14.4" x14ac:dyDescent="0.3"/>
  <cols>
    <col min="6" max="6" width="11.44140625" customWidth="1"/>
    <col min="7" max="7" width="12.88671875" customWidth="1"/>
    <col min="8" max="8" width="15.109375" customWidth="1"/>
    <col min="9" max="9" width="19.109375" customWidth="1"/>
  </cols>
  <sheetData>
    <row r="2" spans="5:10" ht="31.2" thickBot="1" x14ac:dyDescent="0.35">
      <c r="E2" s="1" t="s">
        <v>0</v>
      </c>
      <c r="F2" s="1" t="s">
        <v>1</v>
      </c>
      <c r="G2" s="1" t="s">
        <v>29</v>
      </c>
      <c r="H2" s="1" t="s">
        <v>2</v>
      </c>
      <c r="I2" s="1" t="s">
        <v>3</v>
      </c>
      <c r="J2" s="1" t="s">
        <v>4</v>
      </c>
    </row>
    <row r="3" spans="5:10" ht="22.2" thickBot="1" x14ac:dyDescent="0.35">
      <c r="E3" s="2" t="s">
        <v>5</v>
      </c>
      <c r="F3" s="3" t="s">
        <v>6</v>
      </c>
      <c r="G3" s="3" t="s">
        <v>35</v>
      </c>
      <c r="H3" s="3" t="s">
        <v>7</v>
      </c>
      <c r="I3" s="3" t="s">
        <v>8</v>
      </c>
      <c r="J3" s="4" t="s">
        <v>9</v>
      </c>
    </row>
    <row r="4" spans="5:10" ht="22.2" thickBot="1" x14ac:dyDescent="0.35">
      <c r="E4" s="2" t="s">
        <v>10</v>
      </c>
      <c r="F4" s="3" t="s">
        <v>11</v>
      </c>
      <c r="G4" s="3" t="s">
        <v>31</v>
      </c>
      <c r="H4" s="3" t="s">
        <v>12</v>
      </c>
      <c r="I4" s="3" t="s">
        <v>13</v>
      </c>
      <c r="J4" s="4" t="s">
        <v>14</v>
      </c>
    </row>
    <row r="5" spans="5:10" ht="22.2" thickBot="1" x14ac:dyDescent="0.35">
      <c r="E5" s="2" t="s">
        <v>15</v>
      </c>
      <c r="F5" s="3" t="s">
        <v>16</v>
      </c>
      <c r="G5" s="3" t="s">
        <v>36</v>
      </c>
      <c r="H5" s="3" t="s">
        <v>7</v>
      </c>
      <c r="I5" s="3" t="s">
        <v>8</v>
      </c>
      <c r="J5" s="4" t="s">
        <v>17</v>
      </c>
    </row>
    <row r="6" spans="5:10" ht="15" thickBot="1" x14ac:dyDescent="0.35">
      <c r="E6" s="2" t="s">
        <v>18</v>
      </c>
      <c r="F6" s="3" t="s">
        <v>19</v>
      </c>
      <c r="G6" s="3" t="s">
        <v>33</v>
      </c>
      <c r="H6" s="3" t="s">
        <v>20</v>
      </c>
      <c r="I6" s="3" t="s">
        <v>21</v>
      </c>
      <c r="J6" s="4" t="s">
        <v>22</v>
      </c>
    </row>
    <row r="7" spans="5:10" x14ac:dyDescent="0.3">
      <c r="E7" s="7" t="s">
        <v>23</v>
      </c>
      <c r="F7" s="8" t="s">
        <v>24</v>
      </c>
      <c r="G7" s="8" t="s">
        <v>25</v>
      </c>
      <c r="H7" s="8" t="s">
        <v>7</v>
      </c>
      <c r="I7" s="8" t="s">
        <v>26</v>
      </c>
      <c r="J7" s="9" t="s">
        <v>27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4614E-773C-4640-AADA-C6E06833FB7F}">
  <dimension ref="A1:D8"/>
  <sheetViews>
    <sheetView tabSelected="1" zoomScale="81" workbookViewId="0">
      <selection activeCell="F34" sqref="F34"/>
    </sheetView>
  </sheetViews>
  <sheetFormatPr defaultRowHeight="14.4" x14ac:dyDescent="0.3"/>
  <cols>
    <col min="1" max="1" width="15.21875" bestFit="1" customWidth="1"/>
    <col min="2" max="2" width="20.6640625" bestFit="1" customWidth="1"/>
    <col min="3" max="3" width="23.77734375" bestFit="1" customWidth="1"/>
    <col min="4" max="4" width="27.6640625" bestFit="1" customWidth="1"/>
    <col min="5" max="5" width="11.33203125" bestFit="1" customWidth="1"/>
    <col min="6" max="6" width="10.77734375" bestFit="1" customWidth="1"/>
  </cols>
  <sheetData>
    <row r="1" spans="1:4" x14ac:dyDescent="0.3">
      <c r="A1" s="15" t="s">
        <v>1</v>
      </c>
      <c r="B1" t="s">
        <v>42</v>
      </c>
    </row>
    <row r="3" spans="1:4" x14ac:dyDescent="0.3">
      <c r="A3" s="15" t="s">
        <v>37</v>
      </c>
      <c r="B3" t="s">
        <v>39</v>
      </c>
      <c r="C3" t="s">
        <v>40</v>
      </c>
      <c r="D3" t="s">
        <v>41</v>
      </c>
    </row>
    <row r="4" spans="1:4" x14ac:dyDescent="0.3">
      <c r="A4" s="16" t="s">
        <v>30</v>
      </c>
      <c r="B4" s="17">
        <v>1</v>
      </c>
      <c r="C4" s="17">
        <v>1</v>
      </c>
      <c r="D4" s="17">
        <v>85</v>
      </c>
    </row>
    <row r="5" spans="1:4" x14ac:dyDescent="0.3">
      <c r="A5" s="16" t="s">
        <v>25</v>
      </c>
      <c r="B5" s="17">
        <v>1</v>
      </c>
      <c r="C5" s="17">
        <v>1</v>
      </c>
      <c r="D5" s="17">
        <v>35</v>
      </c>
    </row>
    <row r="6" spans="1:4" x14ac:dyDescent="0.3">
      <c r="A6" s="16" t="s">
        <v>31</v>
      </c>
      <c r="B6" s="17">
        <v>1</v>
      </c>
      <c r="C6" s="17">
        <v>1</v>
      </c>
      <c r="D6" s="17">
        <v>42</v>
      </c>
    </row>
    <row r="7" spans="1:4" x14ac:dyDescent="0.3">
      <c r="A7" s="16" t="s">
        <v>33</v>
      </c>
      <c r="B7" s="17">
        <v>1</v>
      </c>
      <c r="C7" s="17">
        <v>1</v>
      </c>
      <c r="D7" s="17">
        <v>60</v>
      </c>
    </row>
    <row r="8" spans="1:4" x14ac:dyDescent="0.3">
      <c r="A8" s="16" t="s">
        <v>38</v>
      </c>
      <c r="B8" s="17">
        <v>4</v>
      </c>
      <c r="C8" s="17">
        <v>4</v>
      </c>
      <c r="D8" s="17">
        <v>222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5B645-8613-4337-80D2-5CF48C43142C}">
  <dimension ref="A1:H9"/>
  <sheetViews>
    <sheetView zoomScale="88" workbookViewId="0">
      <selection activeCell="A2" sqref="A2:G6"/>
    </sheetView>
  </sheetViews>
  <sheetFormatPr defaultRowHeight="14.4" x14ac:dyDescent="0.3"/>
  <cols>
    <col min="2" max="2" width="11.44140625" customWidth="1"/>
    <col min="3" max="3" width="15.5546875" customWidth="1"/>
    <col min="4" max="4" width="12.88671875" customWidth="1"/>
    <col min="5" max="5" width="15.109375" customWidth="1"/>
    <col min="6" max="6" width="19.109375" customWidth="1"/>
  </cols>
  <sheetData>
    <row r="1" spans="1:8" ht="15" thickBot="1" x14ac:dyDescent="0.35">
      <c r="A1" s="1" t="s">
        <v>0</v>
      </c>
      <c r="B1" s="1" t="s">
        <v>1</v>
      </c>
      <c r="C1" s="1" t="s">
        <v>34</v>
      </c>
      <c r="D1" s="1" t="s">
        <v>2</v>
      </c>
      <c r="E1" s="1" t="s">
        <v>3</v>
      </c>
      <c r="F1" s="1" t="s">
        <v>4</v>
      </c>
      <c r="G1" s="1" t="s">
        <v>28</v>
      </c>
      <c r="H1" s="10"/>
    </row>
    <row r="2" spans="1:8" ht="15" thickBot="1" x14ac:dyDescent="0.35">
      <c r="A2" s="2" t="s">
        <v>5</v>
      </c>
      <c r="B2" s="3" t="s">
        <v>6</v>
      </c>
      <c r="C2" s="3" t="s">
        <v>30</v>
      </c>
      <c r="D2" s="3" t="s">
        <v>7</v>
      </c>
      <c r="E2" s="3" t="s">
        <v>8</v>
      </c>
      <c r="F2" s="12">
        <v>85</v>
      </c>
      <c r="G2" s="8"/>
    </row>
    <row r="3" spans="1:8" ht="15" thickBot="1" x14ac:dyDescent="0.35">
      <c r="A3" s="2" t="s">
        <v>10</v>
      </c>
      <c r="B3" s="3" t="s">
        <v>11</v>
      </c>
      <c r="C3" s="3" t="s">
        <v>31</v>
      </c>
      <c r="D3" s="3" t="s">
        <v>12</v>
      </c>
      <c r="E3" s="3" t="s">
        <v>13</v>
      </c>
      <c r="F3" s="12">
        <v>42</v>
      </c>
      <c r="G3" s="8"/>
    </row>
    <row r="4" spans="1:8" ht="15" thickBot="1" x14ac:dyDescent="0.35">
      <c r="A4" s="2" t="s">
        <v>15</v>
      </c>
      <c r="B4" s="3" t="s">
        <v>16</v>
      </c>
      <c r="C4" s="3" t="s">
        <v>32</v>
      </c>
      <c r="D4" s="3" t="s">
        <v>7</v>
      </c>
      <c r="E4" s="3" t="s">
        <v>8</v>
      </c>
      <c r="F4" s="12">
        <v>95</v>
      </c>
      <c r="G4" s="8"/>
    </row>
    <row r="5" spans="1:8" ht="15" thickBot="1" x14ac:dyDescent="0.35">
      <c r="A5" s="2" t="s">
        <v>18</v>
      </c>
      <c r="B5" s="3" t="s">
        <v>19</v>
      </c>
      <c r="C5" s="3" t="s">
        <v>33</v>
      </c>
      <c r="D5" s="3" t="s">
        <v>20</v>
      </c>
      <c r="E5" s="3" t="s">
        <v>21</v>
      </c>
      <c r="F5" s="12">
        <v>60</v>
      </c>
      <c r="G5" s="8"/>
    </row>
    <row r="6" spans="1:8" ht="15" thickBot="1" x14ac:dyDescent="0.35">
      <c r="A6" s="5" t="s">
        <v>23</v>
      </c>
      <c r="B6" s="6" t="s">
        <v>24</v>
      </c>
      <c r="C6" s="3" t="s">
        <v>25</v>
      </c>
      <c r="D6" s="6" t="s">
        <v>7</v>
      </c>
      <c r="E6" s="6" t="s">
        <v>26</v>
      </c>
      <c r="F6" s="13">
        <v>35</v>
      </c>
      <c r="G6" s="8"/>
    </row>
    <row r="8" spans="1:8" x14ac:dyDescent="0.3">
      <c r="F8" s="14">
        <f>SUM(F2:F6)</f>
        <v>317</v>
      </c>
      <c r="G8" s="11"/>
    </row>
    <row r="9" spans="1:8" x14ac:dyDescent="0.3">
      <c r="H9">
        <f>COUNTIFS(D2:D6,"South")</f>
        <v>3</v>
      </c>
    </row>
  </sheetData>
  <conditionalFormatting sqref="F2:F6">
    <cfRule type="containsText" dxfId="12" priority="3" operator="containsText" text="85">
      <formula>NOT(ISERROR(SEARCH("85",F2)))</formula>
    </cfRule>
    <cfRule type="uniqueValues" dxfId="11" priority="2"/>
    <cfRule type="uniqueValues" dxfId="1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</dc:creator>
  <cp:lastModifiedBy>Dinesh</cp:lastModifiedBy>
  <dcterms:created xsi:type="dcterms:W3CDTF">2026-09-20T08:41:17Z</dcterms:created>
  <dcterms:modified xsi:type="dcterms:W3CDTF">2026-09-27T16:29:35Z</dcterms:modified>
</cp:coreProperties>
</file>